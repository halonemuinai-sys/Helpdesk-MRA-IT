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ate Project\Helpdesk MRA\Excel\"/>
    </mc:Choice>
  </mc:AlternateContent>
  <xr:revisionPtr revIDLastSave="0" documentId="8_{7D4F68A7-2F48-4574-851A-FD248C4DFD51}" xr6:coauthVersionLast="47" xr6:coauthVersionMax="47" xr10:uidLastSave="{00000000-0000-0000-0000-000000000000}"/>
  <bookViews>
    <workbookView xWindow="-110" yWindow="-110" windowWidth="29020" windowHeight="17500" xr2:uid="{249A37C2-6F32-4038-B549-9D07DA59D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1" l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<sst xmlns="http://schemas.openxmlformats.org/spreadsheetml/2006/main" count="455" uniqueCount="237">
  <si>
    <t>No</t>
  </si>
  <si>
    <t>Computer Merk</t>
  </si>
  <si>
    <t>Computer Specification</t>
  </si>
  <si>
    <t>OS Details</t>
  </si>
  <si>
    <t>Renter</t>
  </si>
  <si>
    <t>Rent Period</t>
  </si>
  <si>
    <t>Rent Date</t>
  </si>
  <si>
    <t>Overdue</t>
  </si>
  <si>
    <t>Price/mth 2022-2023</t>
  </si>
  <si>
    <t>ID Asset</t>
  </si>
  <si>
    <t>Price/mth Now</t>
  </si>
  <si>
    <t>User</t>
  </si>
  <si>
    <t>Position</t>
  </si>
  <si>
    <t>Division</t>
  </si>
  <si>
    <t>Cost Center</t>
  </si>
  <si>
    <t>Ket</t>
  </si>
  <si>
    <t>Status</t>
  </si>
  <si>
    <t>LENOVO IDEAPAD SLIM-314 ITL05 GEN 11 INTEL CORE i3-1115G4</t>
  </si>
  <si>
    <t>RAM8GB, SSD256GB, W11 OHS</t>
  </si>
  <si>
    <t>Windows 11 Pro 64 Bit</t>
  </si>
  <si>
    <t>ASANI</t>
  </si>
  <si>
    <t>6 Month</t>
  </si>
  <si>
    <t>UP01194</t>
  </si>
  <si>
    <t>Iffah</t>
  </si>
  <si>
    <t>ASM Branch Jateng</t>
  </si>
  <si>
    <t>Retail</t>
  </si>
  <si>
    <t>HP 14 S-dq2629TU i3-1115G6</t>
  </si>
  <si>
    <t>RAM 8 GB, SSD 512 GB UMA 14 inch Win 11 +ohs</t>
  </si>
  <si>
    <t>24 Month</t>
  </si>
  <si>
    <t>UP00419</t>
  </si>
  <si>
    <t>Rina Setyaningsih</t>
  </si>
  <si>
    <t>Logistik</t>
  </si>
  <si>
    <t>SCM</t>
  </si>
  <si>
    <t>Apple Macbook PRO 2020 MYDA2</t>
  </si>
  <si>
    <t>M1/RAM 8 GB/256 GB SSD/INTEL HD</t>
  </si>
  <si>
    <t>macOS Catalina (10.15.4)</t>
  </si>
  <si>
    <t>UP00937</t>
  </si>
  <si>
    <t>Amandira</t>
  </si>
  <si>
    <t>Sosmed Specialist</t>
  </si>
  <si>
    <t>Marketing</t>
  </si>
  <si>
    <t>Lenovo Ideapad Slim 3</t>
  </si>
  <si>
    <t>Intel i3/RAM 8GB/512 GB/</t>
  </si>
  <si>
    <t>UP01145</t>
  </si>
  <si>
    <t>Mia</t>
  </si>
  <si>
    <t>Purchasing Coor</t>
  </si>
  <si>
    <t>LP09290</t>
  </si>
  <si>
    <t>Wiki</t>
  </si>
  <si>
    <t>Intentory SPV</t>
  </si>
  <si>
    <t>F&amp;A</t>
  </si>
  <si>
    <t>UP01260</t>
  </si>
  <si>
    <t>Rusdi</t>
  </si>
  <si>
    <t>District Manager</t>
  </si>
  <si>
    <t>Operational</t>
  </si>
  <si>
    <t>LP09288</t>
  </si>
  <si>
    <t>Hairul Janwar</t>
  </si>
  <si>
    <t>Lenovo Ideapad Slim I5-13500H</t>
  </si>
  <si>
    <t>intel i5-13500H/RAM 16GB/ SSD 512GB/W11</t>
  </si>
  <si>
    <t>LP09404</t>
  </si>
  <si>
    <t>Syanti Dewi</t>
  </si>
  <si>
    <t>GM</t>
  </si>
  <si>
    <t>Management</t>
  </si>
  <si>
    <t>Intel i-3/RAM 8GB/512GB</t>
  </si>
  <si>
    <t>LP09292</t>
  </si>
  <si>
    <t>Claresta Ansliene</t>
  </si>
  <si>
    <t>Pastry Coordinator</t>
  </si>
  <si>
    <t>Lenovo Ideapad 3</t>
  </si>
  <si>
    <t>Intel Core 13-1215U RAM 8GB, 512GB</t>
  </si>
  <si>
    <t>LP11117</t>
  </si>
  <si>
    <t>Nurul Iman</t>
  </si>
  <si>
    <t>Lenovo Ideapad Flex 5</t>
  </si>
  <si>
    <t>Intel Core i5-1335U RAM 8GB, 512GB</t>
  </si>
  <si>
    <t>LP11119</t>
  </si>
  <si>
    <t>Monika</t>
  </si>
  <si>
    <t>Marketing Manger</t>
  </si>
  <si>
    <t>LP11118</t>
  </si>
  <si>
    <t>Medi Retnosari</t>
  </si>
  <si>
    <t>Head of Accounting &amp; Finance</t>
  </si>
  <si>
    <t>Lenovo Ideapad Flex 3</t>
  </si>
  <si>
    <t>Intel Core i3-1215U RAM 8GB, 512GB</t>
  </si>
  <si>
    <t>LP11120</t>
  </si>
  <si>
    <t>Muhtadin</t>
  </si>
  <si>
    <t>Intentory Coor</t>
  </si>
  <si>
    <t>LP11122</t>
  </si>
  <si>
    <t>Khurniawan</t>
  </si>
  <si>
    <t>Logistik Coor</t>
  </si>
  <si>
    <t>LP11353</t>
  </si>
  <si>
    <t>Lintang</t>
  </si>
  <si>
    <t>Corporare Partnership</t>
  </si>
  <si>
    <t>LP11352</t>
  </si>
  <si>
    <t>Zalfa Anka</t>
  </si>
  <si>
    <t>Event Officer</t>
  </si>
  <si>
    <t>LP11354</t>
  </si>
  <si>
    <t>Fajar Guntoro</t>
  </si>
  <si>
    <t>LP11121</t>
  </si>
  <si>
    <t>Insan Kalami</t>
  </si>
  <si>
    <t>Food Service Specialist</t>
  </si>
  <si>
    <t>Lenovo IdeaPad 5- 14ITL05</t>
  </si>
  <si>
    <t>Intel Core i7-1165G7 RAM 16GB, 512GB</t>
  </si>
  <si>
    <t>UP01664</t>
  </si>
  <si>
    <t>Gifari</t>
  </si>
  <si>
    <t>SCM Analyst &amp; Controller</t>
  </si>
  <si>
    <t>Intel core i3 RAM 8GB, 256GB SSD</t>
  </si>
  <si>
    <t>LP12123</t>
  </si>
  <si>
    <t>Reza</t>
  </si>
  <si>
    <t>Purchasing Staff</t>
  </si>
  <si>
    <t>Lenovo Ideapad 3 14 ITL6 Gen 11</t>
  </si>
  <si>
    <t>Intel core i3 RAM 8GB, 256GB</t>
  </si>
  <si>
    <t>LP12428</t>
  </si>
  <si>
    <t>Theodore</t>
  </si>
  <si>
    <t>Chef RND</t>
  </si>
  <si>
    <t>User Baru</t>
  </si>
  <si>
    <t>Intel core i5 RAM 8GB, 512GB</t>
  </si>
  <si>
    <t>LP12425</t>
  </si>
  <si>
    <t>Kukuk Nurcahyo</t>
  </si>
  <si>
    <t xml:space="preserve">HOD Tax </t>
  </si>
  <si>
    <t>Lenovo Ideapad 3 14 ITL6 Gen 12</t>
  </si>
  <si>
    <t>LP12427</t>
  </si>
  <si>
    <t>Josepri Padang</t>
  </si>
  <si>
    <t>IT Staff</t>
  </si>
  <si>
    <t>Lenovo Ideapad 3 14 ITL6 Gen 13</t>
  </si>
  <si>
    <t>LP12426</t>
  </si>
  <si>
    <t>Adrian Jeihansyah</t>
  </si>
  <si>
    <t>Finance Control</t>
  </si>
  <si>
    <t>Lenovo Thinkpad E14</t>
  </si>
  <si>
    <t>Intel core i5-1235U, RAM 16GB, SSD 512GB</t>
  </si>
  <si>
    <t>LP12730</t>
  </si>
  <si>
    <t>Tri Widowati</t>
  </si>
  <si>
    <t>HR GA Manager</t>
  </si>
  <si>
    <t>HR GA &amp; Legal</t>
  </si>
  <si>
    <t>Lenovo Thinkpad T14</t>
  </si>
  <si>
    <t>Intel core i5-1145G7, RAM 16GB, SSD 256GB</t>
  </si>
  <si>
    <t>LP12731</t>
  </si>
  <si>
    <t>Yanuar Sugiharto</t>
  </si>
  <si>
    <t>Tranineer</t>
  </si>
  <si>
    <t>Bussines Development</t>
  </si>
  <si>
    <t>Lenovo Ideapad 3 14IAU7 Gen 12</t>
  </si>
  <si>
    <t>Intel core i3-1215U RAM 12GB, SSD 512GB</t>
  </si>
  <si>
    <t>LP01685</t>
  </si>
  <si>
    <t>Abdi Winoto</t>
  </si>
  <si>
    <t>Retail Admin</t>
  </si>
  <si>
    <t>LP13211</t>
  </si>
  <si>
    <t>Firdza R. Oktavianty</t>
  </si>
  <si>
    <t>HR Admin</t>
  </si>
  <si>
    <t>DELL Latitude 5420 Gen 11</t>
  </si>
  <si>
    <t>Intel core i5 gen 11 / RAM 16GB / SSD 512GB</t>
  </si>
  <si>
    <t>LP01612</t>
  </si>
  <si>
    <t>Andi Widya</t>
  </si>
  <si>
    <t>PDO</t>
  </si>
  <si>
    <t>Lenovo Ideapad 3 14ITL05 GEN 11</t>
  </si>
  <si>
    <t>Intel core i3-1115G4 / RAM 8GB / 256GB</t>
  </si>
  <si>
    <t>LP13247</t>
  </si>
  <si>
    <t>Mardiana Jawa Doren</t>
  </si>
  <si>
    <t>Logistics Admin</t>
  </si>
  <si>
    <t>LP13246</t>
  </si>
  <si>
    <t>Tauhid Djasa H</t>
  </si>
  <si>
    <t>Sales Data Analyst</t>
  </si>
  <si>
    <t>UP01248</t>
  </si>
  <si>
    <t>Amanda Kesha A</t>
  </si>
  <si>
    <t>Finance Staff</t>
  </si>
  <si>
    <t>LP13303</t>
  </si>
  <si>
    <t>Rachma Mutiara</t>
  </si>
  <si>
    <t>HP 240 G9</t>
  </si>
  <si>
    <t>Intel core i3-1215U / RAM 8GB/ 256GB</t>
  </si>
  <si>
    <t>ASANI ( Bluejam )</t>
  </si>
  <si>
    <t>LP11674</t>
  </si>
  <si>
    <t>Ciki Fitria</t>
  </si>
  <si>
    <t>Accounting Staff</t>
  </si>
  <si>
    <t>Lenovo Ideapad Slim 3 1215U Ge 12</t>
  </si>
  <si>
    <t>Intel core i3-1215U / 8GB / 256GB</t>
  </si>
  <si>
    <t>LP12345</t>
  </si>
  <si>
    <t>Marshalita Kusuma D</t>
  </si>
  <si>
    <t>Lenovo Thinkpad E14 G2</t>
  </si>
  <si>
    <t>Intel core i5-1135G7 / 16GB / 512GB</t>
  </si>
  <si>
    <t>36 Month</t>
  </si>
  <si>
    <t>LP13342</t>
  </si>
  <si>
    <t>Ricky S Mangisi</t>
  </si>
  <si>
    <t>Operational Manager</t>
  </si>
  <si>
    <t>Lenovo Legion 7 16|RX9 i9 14900HX</t>
  </si>
  <si>
    <t>Intel core i9-14900HX / 32GB / 1TB</t>
  </si>
  <si>
    <t>LP13354</t>
  </si>
  <si>
    <t>Fiqran</t>
  </si>
  <si>
    <t>Graphics Designer</t>
  </si>
  <si>
    <t>Lenovo Thinkpad E14 G2 Gen 11</t>
  </si>
  <si>
    <t>LP13417</t>
  </si>
  <si>
    <t>Bryan</t>
  </si>
  <si>
    <t>Analyst</t>
  </si>
  <si>
    <t>LAPTOP LENOVO IDEAPAD SLIM 31 14MX350 8GB 512 SSD Intel® Core™ i5-1035G1 processor</t>
  </si>
  <si>
    <t>RAM8GB, SSD512GB, W11 OHS</t>
  </si>
  <si>
    <t>12 Month</t>
  </si>
  <si>
    <t>17-May</t>
  </si>
  <si>
    <t>17-May-26</t>
  </si>
  <si>
    <t>LP08130</t>
  </si>
  <si>
    <t>Doni Wirawan</t>
  </si>
  <si>
    <t>Head of Retail</t>
  </si>
  <si>
    <t>Lenovo Idepad 3 14IAU7 Gen 12</t>
  </si>
  <si>
    <t>Intel core i3, RAM 12GB, SSD 512GB</t>
  </si>
  <si>
    <t>26-May-25</t>
  </si>
  <si>
    <t>26-May-27</t>
  </si>
  <si>
    <t>LP13437</t>
  </si>
  <si>
    <t>Imelda</t>
  </si>
  <si>
    <t>KAS</t>
  </si>
  <si>
    <t>Lenovo Ideapad Sllim 3 Gen 11</t>
  </si>
  <si>
    <t>Intel core i3-14IAU7, RAM 12GB, SSD 512GB</t>
  </si>
  <si>
    <t>LP13591</t>
  </si>
  <si>
    <t>Denny Kurniawan</t>
  </si>
  <si>
    <t>Admin Logistik</t>
  </si>
  <si>
    <t>LP13592</t>
  </si>
  <si>
    <t>Herlinda Hadi W</t>
  </si>
  <si>
    <t>Brand Executive</t>
  </si>
  <si>
    <t>MSI Sword 16 HX B14V Gen 14</t>
  </si>
  <si>
    <t>Intel core i7-14700HX, RAM16GB, SSD 1 TB</t>
  </si>
  <si>
    <t>LP13593</t>
  </si>
  <si>
    <t>Adrian Alifullah</t>
  </si>
  <si>
    <t>PDO Staff</t>
  </si>
  <si>
    <t>LP13589</t>
  </si>
  <si>
    <t>Maya Tri</t>
  </si>
  <si>
    <t>ASM Bali</t>
  </si>
  <si>
    <t>LAPTOP HP 240 G8</t>
  </si>
  <si>
    <t>Intel core i3 RAM 8 SSD 256GB</t>
  </si>
  <si>
    <t>UP01296</t>
  </si>
  <si>
    <t>Suvi</t>
  </si>
  <si>
    <t>ASM Jatim</t>
  </si>
  <si>
    <t>Intel core i5 RAM 16GB, SSD 512GB</t>
  </si>
  <si>
    <t>LP13687</t>
  </si>
  <si>
    <t>Ade Astari</t>
  </si>
  <si>
    <t>GA, Legal</t>
  </si>
  <si>
    <t>Lenovo Thinkpad T14 G2 Gen11</t>
  </si>
  <si>
    <t>Intel core i5-1145G7/ RAM 16GB / SSD 512 GB</t>
  </si>
  <si>
    <t>07-Aug-25</t>
  </si>
  <si>
    <t>07-Aug-27</t>
  </si>
  <si>
    <t>UP01772</t>
  </si>
  <si>
    <t>Maria Uli</t>
  </si>
  <si>
    <t>HR Supervisor</t>
  </si>
  <si>
    <t>LAPTOP HP 240 G9 Gen 12</t>
  </si>
  <si>
    <t>LP14384</t>
  </si>
  <si>
    <t>Dwi</t>
  </si>
  <si>
    <t>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</si>
</sst>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\-mmm"/>
    <numFmt numFmtId="165" formatCode="d\-mmm\-yy"/>
    <numFmt numFmtId="166" formatCode="_-[$Rp-421]* #,##0.00_-;_-[$Rp-421]* \-#,##0.00_-;_-[$Rp-421]* &quot;-&quot;??_-;_-@"/>
    <numFmt numFmtId="167" formatCode="dd/mm/yyyy"/>
    <numFmt numFmtId="168" formatCode="d/m/yyyy"/>
    <numFmt numFmtId="169" formatCode="d\-mmm\-yyyy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167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vertical="center"/>
    </xf>
    <xf numFmtId="0" fontId="5" fillId="2" borderId="1" xfId="0" applyFont="1" applyFill="1" applyBorder="1"/>
    <xf numFmtId="165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vertical="center"/>
    </xf>
    <xf numFmtId="167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6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Data aktif ASANI-style" pivot="0" count="4" xr9:uid="{169BE007-275B-4BF5-88C0-EA3D285F2822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46310-36EA-49F7-BD13-E28FCB8B6665}" name="Table2" displayName="Table2" ref="A1:Q49">
  <tableColumns count="17">
    <tableColumn id="1" xr3:uid="{5B1DF0B2-0696-41CD-B8BC-AC6D2D134BA6}" name="No"/>
    <tableColumn id="2" xr3:uid="{C7EBB309-BC7D-4E53-8ABC-DFE6F34723EE}" name="Computer Merk"/>
    <tableColumn id="3" xr3:uid="{A6859752-93C7-4071-8470-C0636843CB7C}" name="Computer Specification"/>
    <tableColumn id="4" xr3:uid="{C81B7E6A-BECA-4792-B8DD-D727B07EEFE7}" name="OS Details"/>
    <tableColumn id="5" xr3:uid="{02488BAF-ACA7-4E40-8953-1FF83C76A9A1}" name="Renter"/>
    <tableColumn id="6" xr3:uid="{432B9B8B-C755-4AAA-B28E-12CA982124F5}" name="Rent Period"/>
    <tableColumn id="7" xr3:uid="{A702B44A-43AE-4A36-969F-35F880D34340}" name="Rent Date"/>
    <tableColumn id="8" xr3:uid="{81D0822D-47B2-4882-A8F5-C893EA09B573}" name="Overdue"/>
    <tableColumn id="9" xr3:uid="{ABAD3808-1AD3-4A76-A842-4E666C3283A1}" name="Price/mth 2022-2023"/>
    <tableColumn id="10" xr3:uid="{B1A58B93-A227-47CB-A844-F82F830BD1B6}" name="ID Asset"/>
    <tableColumn id="11" xr3:uid="{69F89F92-06AF-46D0-8BAA-829A7C2E2CC5}" name="Price/mth Now"/>
    <tableColumn id="12" xr3:uid="{2F810791-A2E7-4C10-B46B-58696A1FFB76}" name="User"/>
    <tableColumn id="13" xr3:uid="{6EE47CA7-1E26-4A66-8B05-60A136FD692E}" name="Position"/>
    <tableColumn id="14" xr3:uid="{F459AA7C-3D01-431D-A223-C9EA28D8A90E}" name="Division"/>
    <tableColumn id="15" xr3:uid="{19F7DCB6-03EB-4F64-82E6-F0D4A80E5868}" name="Cost Center"/>
    <tableColumn id="16" xr3:uid="{015841BD-BA9F-4345-9D2D-9353B9E34728}" name="Ket"/>
    <tableColumn id="17" xr3:uid="{07BDDE91-85EB-4B35-906A-FE21FD811FEB}" name="Status"/>
  </tableColumns>
  <tableStyleInfo name="Data aktif ASANI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8E0D-5A52-479A-AE6F-30264FE35D6F}">
  <dimension ref="A1:Q49"/>
  <sheetViews>
    <sheetView tabSelected="1" workbookViewId="0">
      <selection activeCell="H7" sqref="H7"/>
    </sheetView>
  </sheetViews>
  <sheetFormatPr defaultRowHeight="14.5" x14ac:dyDescent="0.35"/>
  <sheetData>
    <row r="1" spans="1:1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spans="1:17" x14ac:dyDescent="0.35">
      <c r="A2" s="5">
        <v>1</v>
      </c>
      <c r="B2" s="6" t="s">
        <v>17</v>
      </c>
      <c r="C2" s="6" t="s">
        <v>18</v>
      </c>
      <c r="D2" s="7" t="s">
        <v>19</v>
      </c>
      <c r="E2" s="6" t="s">
        <v>20</v>
      </c>
      <c r="F2" s="6" t="s">
        <v>21</v>
      </c>
      <c r="G2" s="8">
        <v>46134</v>
      </c>
      <c r="H2" s="9">
        <v>46317</v>
      </c>
      <c r="I2" s="10">
        <v>459000</v>
      </c>
      <c r="J2" s="7" t="s">
        <v>22</v>
      </c>
      <c r="K2" s="10">
        <v>459000</v>
      </c>
      <c r="L2" s="7" t="s">
        <v>23</v>
      </c>
      <c r="M2" s="7" t="s">
        <v>24</v>
      </c>
      <c r="N2" s="11" t="s">
        <v>25</v>
      </c>
      <c r="O2" s="12" t="str">
        <f t="shared" ref="O2:O48" si="0">IF(N2="Retail","RAD","RAI")</f>
        <v>RAD</v>
      </c>
      <c r="P2" s="11"/>
      <c r="Q2" s="11"/>
    </row>
    <row r="3" spans="1:17" x14ac:dyDescent="0.35">
      <c r="A3" s="5">
        <v>2</v>
      </c>
      <c r="B3" s="5" t="s">
        <v>26</v>
      </c>
      <c r="C3" s="5" t="s">
        <v>27</v>
      </c>
      <c r="D3" s="13" t="s">
        <v>19</v>
      </c>
      <c r="E3" s="5" t="s">
        <v>20</v>
      </c>
      <c r="F3" s="5" t="s">
        <v>28</v>
      </c>
      <c r="G3" s="14">
        <v>45121</v>
      </c>
      <c r="H3" s="14">
        <v>46216</v>
      </c>
      <c r="I3" s="15">
        <v>399000</v>
      </c>
      <c r="J3" s="13" t="s">
        <v>29</v>
      </c>
      <c r="K3" s="15">
        <v>399000</v>
      </c>
      <c r="L3" s="13" t="s">
        <v>30</v>
      </c>
      <c r="M3" s="13" t="s">
        <v>31</v>
      </c>
      <c r="N3" s="11" t="s">
        <v>32</v>
      </c>
      <c r="O3" s="12" t="str">
        <f t="shared" si="0"/>
        <v>RAI</v>
      </c>
      <c r="P3" s="11"/>
      <c r="Q3" s="16"/>
    </row>
    <row r="4" spans="1:17" x14ac:dyDescent="0.35">
      <c r="A4" s="5">
        <v>3</v>
      </c>
      <c r="B4" s="5" t="s">
        <v>33</v>
      </c>
      <c r="C4" s="5" t="s">
        <v>34</v>
      </c>
      <c r="D4" s="13" t="s">
        <v>35</v>
      </c>
      <c r="E4" s="5" t="s">
        <v>20</v>
      </c>
      <c r="F4" s="5" t="s">
        <v>28</v>
      </c>
      <c r="G4" s="14">
        <v>45242</v>
      </c>
      <c r="H4" s="14">
        <v>46160</v>
      </c>
      <c r="I4" s="15">
        <v>969000</v>
      </c>
      <c r="J4" s="13" t="s">
        <v>36</v>
      </c>
      <c r="K4" s="15">
        <v>969000</v>
      </c>
      <c r="L4" s="13" t="s">
        <v>37</v>
      </c>
      <c r="M4" s="13" t="s">
        <v>38</v>
      </c>
      <c r="N4" s="11" t="s">
        <v>39</v>
      </c>
      <c r="O4" s="12" t="str">
        <f t="shared" si="0"/>
        <v>RAI</v>
      </c>
      <c r="P4" s="11"/>
      <c r="Q4" s="16"/>
    </row>
    <row r="5" spans="1:17" x14ac:dyDescent="0.35">
      <c r="A5" s="5">
        <v>4</v>
      </c>
      <c r="B5" s="5" t="s">
        <v>40</v>
      </c>
      <c r="C5" s="5" t="s">
        <v>41</v>
      </c>
      <c r="D5" s="13" t="s">
        <v>19</v>
      </c>
      <c r="E5" s="5" t="s">
        <v>20</v>
      </c>
      <c r="F5" s="5" t="s">
        <v>21</v>
      </c>
      <c r="G5" s="17">
        <v>45242</v>
      </c>
      <c r="H5" s="17">
        <v>46315</v>
      </c>
      <c r="I5" s="15">
        <v>389000</v>
      </c>
      <c r="J5" s="13" t="s">
        <v>42</v>
      </c>
      <c r="K5" s="15">
        <v>389000</v>
      </c>
      <c r="L5" s="13" t="s">
        <v>43</v>
      </c>
      <c r="M5" s="13" t="s">
        <v>44</v>
      </c>
      <c r="N5" s="11" t="s">
        <v>32</v>
      </c>
      <c r="O5" s="12" t="str">
        <f t="shared" si="0"/>
        <v>RAI</v>
      </c>
      <c r="P5" s="11"/>
      <c r="Q5" s="16"/>
    </row>
    <row r="6" spans="1:17" x14ac:dyDescent="0.35">
      <c r="A6" s="5">
        <v>5</v>
      </c>
      <c r="B6" s="5" t="s">
        <v>40</v>
      </c>
      <c r="C6" s="5" t="s">
        <v>41</v>
      </c>
      <c r="D6" s="13" t="s">
        <v>19</v>
      </c>
      <c r="E6" s="5" t="s">
        <v>20</v>
      </c>
      <c r="F6" s="5" t="s">
        <v>21</v>
      </c>
      <c r="G6" s="17">
        <v>45242</v>
      </c>
      <c r="H6" s="17">
        <v>46315</v>
      </c>
      <c r="I6" s="15">
        <v>389000</v>
      </c>
      <c r="J6" s="13" t="s">
        <v>45</v>
      </c>
      <c r="K6" s="15">
        <v>389000</v>
      </c>
      <c r="L6" s="13" t="s">
        <v>46</v>
      </c>
      <c r="M6" s="13" t="s">
        <v>47</v>
      </c>
      <c r="N6" s="11" t="s">
        <v>48</v>
      </c>
      <c r="O6" s="12" t="str">
        <f t="shared" si="0"/>
        <v>RAI</v>
      </c>
      <c r="P6" s="11"/>
      <c r="Q6" s="16"/>
    </row>
    <row r="7" spans="1:17" x14ac:dyDescent="0.35">
      <c r="A7" s="5">
        <v>6</v>
      </c>
      <c r="B7" s="5" t="s">
        <v>40</v>
      </c>
      <c r="C7" s="5" t="s">
        <v>41</v>
      </c>
      <c r="D7" s="13" t="s">
        <v>19</v>
      </c>
      <c r="E7" s="5" t="s">
        <v>20</v>
      </c>
      <c r="F7" s="5" t="s">
        <v>21</v>
      </c>
      <c r="G7" s="17">
        <v>45242</v>
      </c>
      <c r="H7" s="17">
        <v>46315</v>
      </c>
      <c r="I7" s="15">
        <v>389000</v>
      </c>
      <c r="J7" s="13" t="s">
        <v>49</v>
      </c>
      <c r="K7" s="15">
        <v>389000</v>
      </c>
      <c r="L7" s="13" t="s">
        <v>50</v>
      </c>
      <c r="M7" s="13" t="s">
        <v>51</v>
      </c>
      <c r="N7" s="11" t="s">
        <v>52</v>
      </c>
      <c r="O7" s="12" t="str">
        <f t="shared" si="0"/>
        <v>RAI</v>
      </c>
      <c r="P7" s="11"/>
      <c r="Q7" s="16"/>
    </row>
    <row r="8" spans="1:17" x14ac:dyDescent="0.35">
      <c r="A8" s="5">
        <v>7</v>
      </c>
      <c r="B8" s="5" t="s">
        <v>40</v>
      </c>
      <c r="C8" s="5" t="s">
        <v>41</v>
      </c>
      <c r="D8" s="13" t="s">
        <v>19</v>
      </c>
      <c r="E8" s="5" t="s">
        <v>20</v>
      </c>
      <c r="F8" s="5" t="s">
        <v>21</v>
      </c>
      <c r="G8" s="17">
        <v>45242</v>
      </c>
      <c r="H8" s="17">
        <v>46315</v>
      </c>
      <c r="I8" s="15">
        <v>389000</v>
      </c>
      <c r="J8" s="13" t="s">
        <v>53</v>
      </c>
      <c r="K8" s="15">
        <v>389000</v>
      </c>
      <c r="L8" s="13" t="s">
        <v>54</v>
      </c>
      <c r="M8" s="13" t="s">
        <v>51</v>
      </c>
      <c r="N8" s="11" t="s">
        <v>52</v>
      </c>
      <c r="O8" s="12" t="str">
        <f t="shared" si="0"/>
        <v>RAI</v>
      </c>
      <c r="P8" s="11"/>
      <c r="Q8" s="16"/>
    </row>
    <row r="9" spans="1:17" x14ac:dyDescent="0.35">
      <c r="A9" s="5">
        <v>8</v>
      </c>
      <c r="B9" s="5" t="s">
        <v>55</v>
      </c>
      <c r="C9" s="5" t="s">
        <v>56</v>
      </c>
      <c r="D9" s="13" t="s">
        <v>19</v>
      </c>
      <c r="E9" s="5" t="s">
        <v>20</v>
      </c>
      <c r="F9" s="5" t="s">
        <v>21</v>
      </c>
      <c r="G9" s="17">
        <v>45288</v>
      </c>
      <c r="H9" s="17">
        <v>46315</v>
      </c>
      <c r="I9" s="15">
        <v>629000</v>
      </c>
      <c r="J9" s="13" t="s">
        <v>57</v>
      </c>
      <c r="K9" s="15">
        <v>629000</v>
      </c>
      <c r="L9" s="18" t="s">
        <v>58</v>
      </c>
      <c r="M9" s="13" t="s">
        <v>59</v>
      </c>
      <c r="N9" s="11" t="s">
        <v>60</v>
      </c>
      <c r="O9" s="12" t="str">
        <f t="shared" si="0"/>
        <v>RAI</v>
      </c>
      <c r="P9" s="11"/>
      <c r="Q9" s="11"/>
    </row>
    <row r="10" spans="1:17" x14ac:dyDescent="0.35">
      <c r="A10" s="5">
        <v>9</v>
      </c>
      <c r="B10" s="5" t="s">
        <v>40</v>
      </c>
      <c r="C10" s="5" t="s">
        <v>61</v>
      </c>
      <c r="D10" s="13" t="s">
        <v>19</v>
      </c>
      <c r="E10" s="5" t="s">
        <v>20</v>
      </c>
      <c r="F10" s="5" t="s">
        <v>21</v>
      </c>
      <c r="G10" s="17">
        <v>45242</v>
      </c>
      <c r="H10" s="17">
        <v>46315</v>
      </c>
      <c r="I10" s="15">
        <v>389000</v>
      </c>
      <c r="J10" s="13" t="s">
        <v>62</v>
      </c>
      <c r="K10" s="15">
        <v>389000</v>
      </c>
      <c r="L10" s="13" t="s">
        <v>63</v>
      </c>
      <c r="M10" s="13" t="s">
        <v>64</v>
      </c>
      <c r="N10" s="11" t="s">
        <v>52</v>
      </c>
      <c r="O10" s="12" t="str">
        <f t="shared" si="0"/>
        <v>RAI</v>
      </c>
      <c r="P10" s="11"/>
      <c r="Q10" s="11"/>
    </row>
    <row r="11" spans="1:17" x14ac:dyDescent="0.35">
      <c r="A11" s="5">
        <v>10</v>
      </c>
      <c r="B11" s="5" t="s">
        <v>65</v>
      </c>
      <c r="C11" s="5" t="s">
        <v>66</v>
      </c>
      <c r="D11" s="13" t="s">
        <v>19</v>
      </c>
      <c r="E11" s="5" t="s">
        <v>20</v>
      </c>
      <c r="F11" s="5" t="s">
        <v>28</v>
      </c>
      <c r="G11" s="14">
        <v>45427</v>
      </c>
      <c r="H11" s="14">
        <v>46127</v>
      </c>
      <c r="I11" s="15">
        <v>389000</v>
      </c>
      <c r="J11" s="13" t="s">
        <v>67</v>
      </c>
      <c r="K11" s="15">
        <v>389000</v>
      </c>
      <c r="L11" s="13" t="s">
        <v>68</v>
      </c>
      <c r="M11" s="13" t="s">
        <v>51</v>
      </c>
      <c r="N11" s="11" t="s">
        <v>52</v>
      </c>
      <c r="O11" s="12" t="str">
        <f t="shared" si="0"/>
        <v>RAI</v>
      </c>
      <c r="P11" s="11"/>
      <c r="Q11" s="11"/>
    </row>
    <row r="12" spans="1:17" x14ac:dyDescent="0.35">
      <c r="A12" s="5">
        <v>11</v>
      </c>
      <c r="B12" s="5" t="s">
        <v>69</v>
      </c>
      <c r="C12" s="5" t="s">
        <v>70</v>
      </c>
      <c r="D12" s="13" t="s">
        <v>19</v>
      </c>
      <c r="E12" s="5" t="s">
        <v>20</v>
      </c>
      <c r="F12" s="5" t="s">
        <v>28</v>
      </c>
      <c r="G12" s="14">
        <v>45434</v>
      </c>
      <c r="H12" s="14">
        <v>46134</v>
      </c>
      <c r="I12" s="15">
        <v>629000</v>
      </c>
      <c r="J12" s="13" t="s">
        <v>71</v>
      </c>
      <c r="K12" s="15">
        <v>629000</v>
      </c>
      <c r="L12" s="18" t="s">
        <v>72</v>
      </c>
      <c r="M12" s="13" t="s">
        <v>73</v>
      </c>
      <c r="N12" s="11" t="s">
        <v>39</v>
      </c>
      <c r="O12" s="12" t="str">
        <f t="shared" si="0"/>
        <v>RAI</v>
      </c>
      <c r="P12" s="11"/>
      <c r="Q12" s="11"/>
    </row>
    <row r="13" spans="1:17" x14ac:dyDescent="0.35">
      <c r="A13" s="5">
        <v>12</v>
      </c>
      <c r="B13" s="5" t="s">
        <v>69</v>
      </c>
      <c r="C13" s="5" t="s">
        <v>70</v>
      </c>
      <c r="D13" s="13" t="s">
        <v>19</v>
      </c>
      <c r="E13" s="5" t="s">
        <v>20</v>
      </c>
      <c r="F13" s="5" t="s">
        <v>28</v>
      </c>
      <c r="G13" s="14">
        <v>45434</v>
      </c>
      <c r="H13" s="14">
        <v>46134</v>
      </c>
      <c r="I13" s="15">
        <v>629000</v>
      </c>
      <c r="J13" s="13" t="s">
        <v>74</v>
      </c>
      <c r="K13" s="15">
        <v>629000</v>
      </c>
      <c r="L13" s="13" t="s">
        <v>75</v>
      </c>
      <c r="M13" s="13" t="s">
        <v>76</v>
      </c>
      <c r="N13" s="11" t="s">
        <v>48</v>
      </c>
      <c r="O13" s="12" t="str">
        <f t="shared" si="0"/>
        <v>RAI</v>
      </c>
      <c r="P13" s="11"/>
      <c r="Q13" s="11"/>
    </row>
    <row r="14" spans="1:17" x14ac:dyDescent="0.35">
      <c r="A14" s="5">
        <v>13</v>
      </c>
      <c r="B14" s="5" t="s">
        <v>77</v>
      </c>
      <c r="C14" s="5" t="s">
        <v>78</v>
      </c>
      <c r="D14" s="13" t="s">
        <v>19</v>
      </c>
      <c r="E14" s="5" t="s">
        <v>20</v>
      </c>
      <c r="F14" s="5" t="s">
        <v>28</v>
      </c>
      <c r="G14" s="14">
        <v>45434</v>
      </c>
      <c r="H14" s="14">
        <v>46134</v>
      </c>
      <c r="I14" s="15">
        <v>389000</v>
      </c>
      <c r="J14" s="13" t="s">
        <v>79</v>
      </c>
      <c r="K14" s="15">
        <v>389000</v>
      </c>
      <c r="L14" s="13" t="s">
        <v>80</v>
      </c>
      <c r="M14" s="13" t="s">
        <v>81</v>
      </c>
      <c r="N14" s="11" t="s">
        <v>48</v>
      </c>
      <c r="O14" s="12" t="str">
        <f t="shared" si="0"/>
        <v>RAI</v>
      </c>
      <c r="P14" s="11"/>
      <c r="Q14" s="11"/>
    </row>
    <row r="15" spans="1:17" x14ac:dyDescent="0.35">
      <c r="A15" s="5">
        <v>14</v>
      </c>
      <c r="B15" s="19" t="s">
        <v>77</v>
      </c>
      <c r="C15" s="19" t="s">
        <v>78</v>
      </c>
      <c r="D15" s="13" t="s">
        <v>19</v>
      </c>
      <c r="E15" s="19" t="s">
        <v>20</v>
      </c>
      <c r="F15" s="19" t="s">
        <v>28</v>
      </c>
      <c r="G15" s="20">
        <v>45434</v>
      </c>
      <c r="H15" s="20">
        <v>46134</v>
      </c>
      <c r="I15" s="15">
        <v>389000</v>
      </c>
      <c r="J15" s="21" t="s">
        <v>82</v>
      </c>
      <c r="K15" s="15">
        <v>389000</v>
      </c>
      <c r="L15" s="21" t="s">
        <v>83</v>
      </c>
      <c r="M15" s="21" t="s">
        <v>84</v>
      </c>
      <c r="N15" s="11" t="s">
        <v>32</v>
      </c>
      <c r="O15" s="12" t="str">
        <f t="shared" si="0"/>
        <v>RAI</v>
      </c>
      <c r="P15" s="11"/>
      <c r="Q15" s="11"/>
    </row>
    <row r="16" spans="1:17" x14ac:dyDescent="0.35">
      <c r="A16" s="5">
        <v>15</v>
      </c>
      <c r="B16" s="19" t="s">
        <v>77</v>
      </c>
      <c r="C16" s="19" t="s">
        <v>78</v>
      </c>
      <c r="D16" s="13" t="s">
        <v>19</v>
      </c>
      <c r="E16" s="19" t="s">
        <v>20</v>
      </c>
      <c r="F16" s="19" t="s">
        <v>28</v>
      </c>
      <c r="G16" s="20">
        <v>45434</v>
      </c>
      <c r="H16" s="20">
        <v>46134</v>
      </c>
      <c r="I16" s="15">
        <v>389000</v>
      </c>
      <c r="J16" s="21" t="s">
        <v>85</v>
      </c>
      <c r="K16" s="15">
        <v>389000</v>
      </c>
      <c r="L16" s="21" t="s">
        <v>86</v>
      </c>
      <c r="M16" s="21" t="s">
        <v>87</v>
      </c>
      <c r="N16" s="11" t="s">
        <v>39</v>
      </c>
      <c r="O16" s="12" t="str">
        <f t="shared" si="0"/>
        <v>RAI</v>
      </c>
      <c r="P16" s="11"/>
      <c r="Q16" s="11"/>
    </row>
    <row r="17" spans="1:17" x14ac:dyDescent="0.35">
      <c r="A17" s="5">
        <v>16</v>
      </c>
      <c r="B17" s="19" t="s">
        <v>77</v>
      </c>
      <c r="C17" s="19" t="s">
        <v>78</v>
      </c>
      <c r="D17" s="13" t="s">
        <v>19</v>
      </c>
      <c r="E17" s="19" t="s">
        <v>20</v>
      </c>
      <c r="F17" s="19" t="s">
        <v>28</v>
      </c>
      <c r="G17" s="20">
        <v>45434</v>
      </c>
      <c r="H17" s="20">
        <v>46134</v>
      </c>
      <c r="I17" s="15">
        <v>389000</v>
      </c>
      <c r="J17" s="21" t="s">
        <v>88</v>
      </c>
      <c r="K17" s="15">
        <v>389000</v>
      </c>
      <c r="L17" s="21" t="s">
        <v>89</v>
      </c>
      <c r="M17" s="21" t="s">
        <v>90</v>
      </c>
      <c r="N17" s="11" t="s">
        <v>39</v>
      </c>
      <c r="O17" s="12" t="str">
        <f t="shared" si="0"/>
        <v>RAI</v>
      </c>
      <c r="P17" s="11"/>
      <c r="Q17" s="11"/>
    </row>
    <row r="18" spans="1:17" x14ac:dyDescent="0.35">
      <c r="A18" s="5">
        <v>17</v>
      </c>
      <c r="B18" s="19" t="s">
        <v>77</v>
      </c>
      <c r="C18" s="19" t="s">
        <v>78</v>
      </c>
      <c r="D18" s="13" t="s">
        <v>19</v>
      </c>
      <c r="E18" s="19" t="s">
        <v>20</v>
      </c>
      <c r="F18" s="19" t="s">
        <v>28</v>
      </c>
      <c r="G18" s="20">
        <v>45434</v>
      </c>
      <c r="H18" s="20">
        <v>46134</v>
      </c>
      <c r="I18" s="15">
        <v>389000</v>
      </c>
      <c r="J18" s="21" t="s">
        <v>91</v>
      </c>
      <c r="K18" s="15">
        <v>389000</v>
      </c>
      <c r="L18" s="21" t="s">
        <v>92</v>
      </c>
      <c r="M18" s="21" t="s">
        <v>51</v>
      </c>
      <c r="N18" s="11" t="s">
        <v>52</v>
      </c>
      <c r="O18" s="12" t="str">
        <f t="shared" si="0"/>
        <v>RAI</v>
      </c>
      <c r="P18" s="11"/>
      <c r="Q18" s="11"/>
    </row>
    <row r="19" spans="1:17" x14ac:dyDescent="0.35">
      <c r="A19" s="5">
        <v>18</v>
      </c>
      <c r="B19" s="19" t="s">
        <v>77</v>
      </c>
      <c r="C19" s="19" t="s">
        <v>78</v>
      </c>
      <c r="D19" s="13" t="s">
        <v>19</v>
      </c>
      <c r="E19" s="19" t="s">
        <v>20</v>
      </c>
      <c r="F19" s="19" t="s">
        <v>28</v>
      </c>
      <c r="G19" s="20">
        <v>45434</v>
      </c>
      <c r="H19" s="20">
        <v>46134</v>
      </c>
      <c r="I19" s="15">
        <v>389000</v>
      </c>
      <c r="J19" s="21" t="s">
        <v>93</v>
      </c>
      <c r="K19" s="15">
        <v>389000</v>
      </c>
      <c r="L19" s="21" t="s">
        <v>94</v>
      </c>
      <c r="M19" s="21" t="s">
        <v>95</v>
      </c>
      <c r="N19" s="11" t="s">
        <v>25</v>
      </c>
      <c r="O19" s="12" t="str">
        <f t="shared" si="0"/>
        <v>RAD</v>
      </c>
      <c r="P19" s="11"/>
      <c r="Q19" s="11"/>
    </row>
    <row r="20" spans="1:17" x14ac:dyDescent="0.35">
      <c r="A20" s="5">
        <v>19</v>
      </c>
      <c r="B20" s="19" t="s">
        <v>96</v>
      </c>
      <c r="C20" s="19" t="s">
        <v>97</v>
      </c>
      <c r="D20" s="13" t="s">
        <v>19</v>
      </c>
      <c r="E20" s="19" t="s">
        <v>20</v>
      </c>
      <c r="F20" s="19" t="s">
        <v>28</v>
      </c>
      <c r="G20" s="20">
        <v>45463</v>
      </c>
      <c r="H20" s="20">
        <v>46162</v>
      </c>
      <c r="I20" s="22">
        <v>699000</v>
      </c>
      <c r="J20" s="13" t="s">
        <v>98</v>
      </c>
      <c r="K20" s="22">
        <v>699000</v>
      </c>
      <c r="L20" s="21" t="s">
        <v>99</v>
      </c>
      <c r="M20" s="21" t="s">
        <v>100</v>
      </c>
      <c r="N20" s="11" t="s">
        <v>32</v>
      </c>
      <c r="O20" s="12" t="str">
        <f t="shared" si="0"/>
        <v>RAI</v>
      </c>
      <c r="P20" s="11"/>
      <c r="Q20" s="11"/>
    </row>
    <row r="21" spans="1:17" x14ac:dyDescent="0.35">
      <c r="A21" s="5">
        <v>20</v>
      </c>
      <c r="B21" s="5" t="s">
        <v>65</v>
      </c>
      <c r="C21" s="5" t="s">
        <v>101</v>
      </c>
      <c r="D21" s="13" t="s">
        <v>19</v>
      </c>
      <c r="E21" s="5" t="s">
        <v>20</v>
      </c>
      <c r="F21" s="5" t="s">
        <v>28</v>
      </c>
      <c r="G21" s="14">
        <v>45559</v>
      </c>
      <c r="H21" s="14">
        <v>46288</v>
      </c>
      <c r="I21" s="15">
        <v>359000</v>
      </c>
      <c r="J21" s="13" t="s">
        <v>102</v>
      </c>
      <c r="K21" s="15">
        <v>359000</v>
      </c>
      <c r="L21" s="13" t="s">
        <v>103</v>
      </c>
      <c r="M21" s="13" t="s">
        <v>104</v>
      </c>
      <c r="N21" s="11" t="s">
        <v>32</v>
      </c>
      <c r="O21" s="12" t="str">
        <f t="shared" si="0"/>
        <v>RAI</v>
      </c>
      <c r="P21" s="11"/>
      <c r="Q21" s="11"/>
    </row>
    <row r="22" spans="1:17" x14ac:dyDescent="0.35">
      <c r="A22" s="5">
        <v>21</v>
      </c>
      <c r="B22" s="5" t="s">
        <v>105</v>
      </c>
      <c r="C22" s="5" t="s">
        <v>106</v>
      </c>
      <c r="D22" s="13" t="s">
        <v>19</v>
      </c>
      <c r="E22" s="5" t="s">
        <v>20</v>
      </c>
      <c r="F22" s="5" t="s">
        <v>28</v>
      </c>
      <c r="G22" s="14">
        <v>45611</v>
      </c>
      <c r="H22" s="17">
        <v>46341</v>
      </c>
      <c r="I22" s="15">
        <v>349000</v>
      </c>
      <c r="J22" s="13" t="s">
        <v>107</v>
      </c>
      <c r="K22" s="15">
        <v>349000</v>
      </c>
      <c r="L22" s="7" t="s">
        <v>108</v>
      </c>
      <c r="M22" s="7" t="s">
        <v>109</v>
      </c>
      <c r="N22" s="23" t="s">
        <v>39</v>
      </c>
      <c r="O22" s="12" t="str">
        <f t="shared" si="0"/>
        <v>RAI</v>
      </c>
      <c r="P22" s="11" t="s">
        <v>110</v>
      </c>
      <c r="Q22" s="11"/>
    </row>
    <row r="23" spans="1:17" x14ac:dyDescent="0.35">
      <c r="A23" s="5">
        <v>22</v>
      </c>
      <c r="B23" s="5" t="s">
        <v>105</v>
      </c>
      <c r="C23" s="5" t="s">
        <v>111</v>
      </c>
      <c r="D23" s="13" t="s">
        <v>19</v>
      </c>
      <c r="E23" s="5" t="s">
        <v>20</v>
      </c>
      <c r="F23" s="5" t="s">
        <v>28</v>
      </c>
      <c r="G23" s="17">
        <v>45611</v>
      </c>
      <c r="H23" s="17">
        <v>46341</v>
      </c>
      <c r="I23" s="15">
        <v>479000</v>
      </c>
      <c r="J23" s="13" t="s">
        <v>112</v>
      </c>
      <c r="K23" s="15">
        <v>479000</v>
      </c>
      <c r="L23" s="13" t="s">
        <v>113</v>
      </c>
      <c r="M23" s="13" t="s">
        <v>114</v>
      </c>
      <c r="N23" s="11" t="s">
        <v>48</v>
      </c>
      <c r="O23" s="12" t="str">
        <f t="shared" si="0"/>
        <v>RAI</v>
      </c>
      <c r="P23" s="11"/>
      <c r="Q23" s="11"/>
    </row>
    <row r="24" spans="1:17" x14ac:dyDescent="0.35">
      <c r="A24" s="5">
        <v>23</v>
      </c>
      <c r="B24" s="5" t="s">
        <v>115</v>
      </c>
      <c r="C24" s="5" t="s">
        <v>111</v>
      </c>
      <c r="D24" s="13" t="s">
        <v>19</v>
      </c>
      <c r="E24" s="5" t="s">
        <v>20</v>
      </c>
      <c r="F24" s="5" t="s">
        <v>28</v>
      </c>
      <c r="G24" s="14">
        <v>45611</v>
      </c>
      <c r="H24" s="24">
        <v>46341</v>
      </c>
      <c r="I24" s="15">
        <v>479000</v>
      </c>
      <c r="J24" s="13" t="s">
        <v>116</v>
      </c>
      <c r="K24" s="15">
        <v>479000</v>
      </c>
      <c r="L24" s="13" t="s">
        <v>117</v>
      </c>
      <c r="M24" s="13" t="s">
        <v>118</v>
      </c>
      <c r="N24" s="11" t="s">
        <v>39</v>
      </c>
      <c r="O24" s="12" t="str">
        <f t="shared" si="0"/>
        <v>RAI</v>
      </c>
      <c r="P24" s="11"/>
      <c r="Q24" s="11"/>
    </row>
    <row r="25" spans="1:17" x14ac:dyDescent="0.35">
      <c r="A25" s="5">
        <v>24</v>
      </c>
      <c r="B25" s="5" t="s">
        <v>119</v>
      </c>
      <c r="C25" s="5" t="s">
        <v>111</v>
      </c>
      <c r="D25" s="13" t="s">
        <v>19</v>
      </c>
      <c r="E25" s="5" t="s">
        <v>20</v>
      </c>
      <c r="F25" s="5" t="s">
        <v>28</v>
      </c>
      <c r="G25" s="17">
        <v>45611</v>
      </c>
      <c r="H25" s="17">
        <v>46341</v>
      </c>
      <c r="I25" s="15">
        <v>479000</v>
      </c>
      <c r="J25" s="13" t="s">
        <v>120</v>
      </c>
      <c r="K25" s="15">
        <v>479000</v>
      </c>
      <c r="L25" s="13" t="s">
        <v>121</v>
      </c>
      <c r="M25" s="13" t="s">
        <v>122</v>
      </c>
      <c r="N25" s="11" t="s">
        <v>48</v>
      </c>
      <c r="O25" s="12" t="str">
        <f t="shared" si="0"/>
        <v>RAI</v>
      </c>
      <c r="P25" s="11"/>
      <c r="Q25" s="11"/>
    </row>
    <row r="26" spans="1:17" x14ac:dyDescent="0.35">
      <c r="A26" s="5">
        <v>25</v>
      </c>
      <c r="B26" s="5" t="s">
        <v>123</v>
      </c>
      <c r="C26" s="5" t="s">
        <v>124</v>
      </c>
      <c r="D26" s="13" t="s">
        <v>19</v>
      </c>
      <c r="E26" s="5" t="s">
        <v>20</v>
      </c>
      <c r="F26" s="5" t="s">
        <v>28</v>
      </c>
      <c r="G26" s="17">
        <v>45680</v>
      </c>
      <c r="H26" s="17">
        <v>46410</v>
      </c>
      <c r="I26" s="15">
        <v>659000</v>
      </c>
      <c r="J26" s="13" t="s">
        <v>125</v>
      </c>
      <c r="K26" s="15">
        <v>659000</v>
      </c>
      <c r="L26" s="13" t="s">
        <v>126</v>
      </c>
      <c r="M26" s="13" t="s">
        <v>127</v>
      </c>
      <c r="N26" s="11" t="s">
        <v>128</v>
      </c>
      <c r="O26" s="12" t="str">
        <f t="shared" si="0"/>
        <v>RAI</v>
      </c>
      <c r="P26" s="11"/>
      <c r="Q26" s="11"/>
    </row>
    <row r="27" spans="1:17" x14ac:dyDescent="0.35">
      <c r="A27" s="5">
        <v>26</v>
      </c>
      <c r="B27" s="5" t="s">
        <v>129</v>
      </c>
      <c r="C27" s="5" t="s">
        <v>130</v>
      </c>
      <c r="D27" s="13" t="s">
        <v>19</v>
      </c>
      <c r="E27" s="5" t="s">
        <v>20</v>
      </c>
      <c r="F27" s="5" t="s">
        <v>28</v>
      </c>
      <c r="G27" s="14">
        <v>45680</v>
      </c>
      <c r="H27" s="14">
        <v>46410</v>
      </c>
      <c r="I27" s="15">
        <v>559000</v>
      </c>
      <c r="J27" s="13" t="s">
        <v>131</v>
      </c>
      <c r="K27" s="15">
        <v>559000</v>
      </c>
      <c r="L27" s="13" t="s">
        <v>132</v>
      </c>
      <c r="M27" s="13" t="s">
        <v>133</v>
      </c>
      <c r="N27" s="11" t="s">
        <v>134</v>
      </c>
      <c r="O27" s="12" t="str">
        <f t="shared" si="0"/>
        <v>RAI</v>
      </c>
      <c r="P27" s="11"/>
      <c r="Q27" s="11"/>
    </row>
    <row r="28" spans="1:17" x14ac:dyDescent="0.35">
      <c r="A28" s="5">
        <v>27</v>
      </c>
      <c r="B28" s="5" t="s">
        <v>135</v>
      </c>
      <c r="C28" s="5" t="s">
        <v>136</v>
      </c>
      <c r="D28" s="13" t="s">
        <v>19</v>
      </c>
      <c r="E28" s="5" t="s">
        <v>20</v>
      </c>
      <c r="F28" s="5" t="s">
        <v>28</v>
      </c>
      <c r="G28" s="14">
        <v>45722</v>
      </c>
      <c r="H28" s="14">
        <v>46452</v>
      </c>
      <c r="I28" s="15">
        <v>359000</v>
      </c>
      <c r="J28" s="13" t="s">
        <v>137</v>
      </c>
      <c r="K28" s="15">
        <v>359000</v>
      </c>
      <c r="L28" s="13" t="s">
        <v>138</v>
      </c>
      <c r="M28" s="13" t="s">
        <v>139</v>
      </c>
      <c r="N28" s="11" t="s">
        <v>25</v>
      </c>
      <c r="O28" s="12" t="str">
        <f t="shared" si="0"/>
        <v>RAD</v>
      </c>
      <c r="P28" s="11"/>
      <c r="Q28" s="11"/>
    </row>
    <row r="29" spans="1:17" x14ac:dyDescent="0.35">
      <c r="A29" s="5">
        <v>28</v>
      </c>
      <c r="B29" s="5" t="s">
        <v>135</v>
      </c>
      <c r="C29" s="5" t="s">
        <v>136</v>
      </c>
      <c r="D29" s="13" t="s">
        <v>19</v>
      </c>
      <c r="E29" s="5" t="s">
        <v>20</v>
      </c>
      <c r="F29" s="5" t="s">
        <v>28</v>
      </c>
      <c r="G29" s="24">
        <v>45728</v>
      </c>
      <c r="H29" s="24">
        <v>46458</v>
      </c>
      <c r="I29" s="15">
        <v>359000</v>
      </c>
      <c r="J29" s="13" t="s">
        <v>140</v>
      </c>
      <c r="K29" s="15">
        <v>359000</v>
      </c>
      <c r="L29" s="13" t="s">
        <v>141</v>
      </c>
      <c r="M29" s="13" t="s">
        <v>142</v>
      </c>
      <c r="N29" s="11" t="s">
        <v>128</v>
      </c>
      <c r="O29" s="12" t="str">
        <f t="shared" si="0"/>
        <v>RAI</v>
      </c>
      <c r="P29" s="11"/>
      <c r="Q29" s="11"/>
    </row>
    <row r="30" spans="1:17" x14ac:dyDescent="0.35">
      <c r="A30" s="5">
        <v>29</v>
      </c>
      <c r="B30" s="5" t="s">
        <v>143</v>
      </c>
      <c r="C30" s="5" t="s">
        <v>144</v>
      </c>
      <c r="D30" s="13" t="s">
        <v>19</v>
      </c>
      <c r="E30" s="5" t="s">
        <v>20</v>
      </c>
      <c r="F30" s="5" t="s">
        <v>28</v>
      </c>
      <c r="G30" s="17">
        <v>45728</v>
      </c>
      <c r="H30" s="17">
        <v>46458</v>
      </c>
      <c r="I30" s="15">
        <v>499000</v>
      </c>
      <c r="J30" s="13" t="s">
        <v>145</v>
      </c>
      <c r="K30" s="15">
        <v>499000</v>
      </c>
      <c r="L30" s="13" t="s">
        <v>146</v>
      </c>
      <c r="M30" s="13" t="s">
        <v>147</v>
      </c>
      <c r="N30" s="11" t="s">
        <v>134</v>
      </c>
      <c r="O30" s="12" t="str">
        <f t="shared" si="0"/>
        <v>RAI</v>
      </c>
      <c r="P30" s="11"/>
      <c r="Q30" s="11"/>
    </row>
    <row r="31" spans="1:17" x14ac:dyDescent="0.35">
      <c r="A31" s="5">
        <v>30</v>
      </c>
      <c r="B31" s="5" t="s">
        <v>148</v>
      </c>
      <c r="C31" s="5" t="s">
        <v>149</v>
      </c>
      <c r="D31" s="13" t="s">
        <v>19</v>
      </c>
      <c r="E31" s="5" t="s">
        <v>20</v>
      </c>
      <c r="F31" s="5" t="s">
        <v>28</v>
      </c>
      <c r="G31" s="24">
        <v>45742</v>
      </c>
      <c r="H31" s="24">
        <v>46472</v>
      </c>
      <c r="I31" s="15">
        <v>319000</v>
      </c>
      <c r="J31" s="13" t="s">
        <v>150</v>
      </c>
      <c r="K31" s="15">
        <v>319000</v>
      </c>
      <c r="L31" s="13" t="s">
        <v>151</v>
      </c>
      <c r="M31" s="13" t="s">
        <v>152</v>
      </c>
      <c r="N31" s="11" t="s">
        <v>32</v>
      </c>
      <c r="O31" s="12" t="str">
        <f t="shared" si="0"/>
        <v>RAI</v>
      </c>
      <c r="P31" s="11"/>
      <c r="Q31" s="11"/>
    </row>
    <row r="32" spans="1:17" x14ac:dyDescent="0.35">
      <c r="A32" s="5">
        <v>31</v>
      </c>
      <c r="B32" s="5" t="s">
        <v>148</v>
      </c>
      <c r="C32" s="5" t="s">
        <v>149</v>
      </c>
      <c r="D32" s="13" t="s">
        <v>19</v>
      </c>
      <c r="E32" s="5" t="s">
        <v>20</v>
      </c>
      <c r="F32" s="5" t="s">
        <v>28</v>
      </c>
      <c r="G32" s="17">
        <v>45742</v>
      </c>
      <c r="H32" s="17">
        <v>46472</v>
      </c>
      <c r="I32" s="15">
        <v>319000</v>
      </c>
      <c r="J32" s="13" t="s">
        <v>153</v>
      </c>
      <c r="K32" s="15">
        <v>319000</v>
      </c>
      <c r="L32" s="13" t="s">
        <v>154</v>
      </c>
      <c r="M32" s="13" t="s">
        <v>155</v>
      </c>
      <c r="N32" s="25" t="s">
        <v>25</v>
      </c>
      <c r="O32" s="12" t="str">
        <f t="shared" si="0"/>
        <v>RAD</v>
      </c>
      <c r="P32" s="16"/>
      <c r="Q32" s="16"/>
    </row>
    <row r="33" spans="1:17" x14ac:dyDescent="0.35">
      <c r="A33" s="5">
        <v>32</v>
      </c>
      <c r="B33" s="5" t="s">
        <v>148</v>
      </c>
      <c r="C33" s="5" t="s">
        <v>149</v>
      </c>
      <c r="D33" s="13" t="s">
        <v>19</v>
      </c>
      <c r="E33" s="5" t="s">
        <v>20</v>
      </c>
      <c r="F33" s="5" t="s">
        <v>28</v>
      </c>
      <c r="G33" s="17">
        <v>45761</v>
      </c>
      <c r="H33" s="17">
        <v>46491</v>
      </c>
      <c r="I33" s="15">
        <v>319000</v>
      </c>
      <c r="J33" s="13" t="s">
        <v>156</v>
      </c>
      <c r="K33" s="15">
        <v>319000</v>
      </c>
      <c r="L33" s="13" t="s">
        <v>157</v>
      </c>
      <c r="M33" s="13" t="s">
        <v>158</v>
      </c>
      <c r="N33" s="25" t="s">
        <v>48</v>
      </c>
      <c r="O33" s="12" t="str">
        <f t="shared" si="0"/>
        <v>RAI</v>
      </c>
      <c r="P33" s="16"/>
      <c r="Q33" s="16"/>
    </row>
    <row r="34" spans="1:17" x14ac:dyDescent="0.35">
      <c r="A34" s="5">
        <v>33</v>
      </c>
      <c r="B34" s="5" t="s">
        <v>148</v>
      </c>
      <c r="C34" s="5" t="s">
        <v>149</v>
      </c>
      <c r="D34" s="13" t="s">
        <v>19</v>
      </c>
      <c r="E34" s="5" t="s">
        <v>20</v>
      </c>
      <c r="F34" s="5" t="s">
        <v>28</v>
      </c>
      <c r="G34" s="14">
        <v>45761</v>
      </c>
      <c r="H34" s="24">
        <v>46491</v>
      </c>
      <c r="I34" s="15">
        <v>319000</v>
      </c>
      <c r="J34" s="13" t="s">
        <v>159</v>
      </c>
      <c r="K34" s="15">
        <v>319000</v>
      </c>
      <c r="L34" s="13" t="s">
        <v>160</v>
      </c>
      <c r="M34" s="13" t="s">
        <v>158</v>
      </c>
      <c r="N34" s="25" t="s">
        <v>48</v>
      </c>
      <c r="O34" s="12" t="str">
        <f t="shared" si="0"/>
        <v>RAI</v>
      </c>
      <c r="P34" s="16"/>
      <c r="Q34" s="16"/>
    </row>
    <row r="35" spans="1:17" x14ac:dyDescent="0.35">
      <c r="A35" s="5">
        <v>34</v>
      </c>
      <c r="B35" s="5" t="s">
        <v>161</v>
      </c>
      <c r="C35" s="5" t="s">
        <v>162</v>
      </c>
      <c r="D35" s="13" t="s">
        <v>19</v>
      </c>
      <c r="E35" s="5" t="s">
        <v>163</v>
      </c>
      <c r="F35" s="5"/>
      <c r="G35" s="26"/>
      <c r="H35" s="27"/>
      <c r="I35" s="15">
        <v>319000</v>
      </c>
      <c r="J35" s="13" t="s">
        <v>164</v>
      </c>
      <c r="K35" s="15">
        <v>319000</v>
      </c>
      <c r="L35" s="13" t="s">
        <v>165</v>
      </c>
      <c r="M35" s="13" t="s">
        <v>166</v>
      </c>
      <c r="N35" s="25" t="s">
        <v>48</v>
      </c>
      <c r="O35" s="12" t="str">
        <f t="shared" si="0"/>
        <v>RAI</v>
      </c>
      <c r="P35" s="16"/>
      <c r="Q35" s="16"/>
    </row>
    <row r="36" spans="1:17" x14ac:dyDescent="0.35">
      <c r="A36" s="5">
        <v>35</v>
      </c>
      <c r="B36" s="5" t="s">
        <v>167</v>
      </c>
      <c r="C36" s="5" t="s">
        <v>168</v>
      </c>
      <c r="D36" s="13" t="s">
        <v>19</v>
      </c>
      <c r="E36" s="5" t="s">
        <v>163</v>
      </c>
      <c r="F36" s="5"/>
      <c r="G36" s="28"/>
      <c r="H36" s="28"/>
      <c r="I36" s="15">
        <v>319000</v>
      </c>
      <c r="J36" s="13" t="s">
        <v>169</v>
      </c>
      <c r="K36" s="15">
        <v>319000</v>
      </c>
      <c r="L36" s="13" t="s">
        <v>170</v>
      </c>
      <c r="M36" s="13" t="s">
        <v>166</v>
      </c>
      <c r="N36" s="25" t="s">
        <v>48</v>
      </c>
      <c r="O36" s="12" t="str">
        <f t="shared" si="0"/>
        <v>RAI</v>
      </c>
      <c r="P36" s="16"/>
      <c r="Q36" s="16"/>
    </row>
    <row r="37" spans="1:17" x14ac:dyDescent="0.35">
      <c r="A37" s="5">
        <v>36</v>
      </c>
      <c r="B37" s="6" t="s">
        <v>171</v>
      </c>
      <c r="C37" s="6" t="s">
        <v>172</v>
      </c>
      <c r="D37" s="7" t="s">
        <v>19</v>
      </c>
      <c r="E37" s="6" t="s">
        <v>20</v>
      </c>
      <c r="F37" s="6" t="s">
        <v>173</v>
      </c>
      <c r="G37" s="29">
        <v>45771</v>
      </c>
      <c r="H37" s="29">
        <v>46867</v>
      </c>
      <c r="I37" s="10">
        <v>350000</v>
      </c>
      <c r="J37" s="7" t="s">
        <v>174</v>
      </c>
      <c r="K37" s="10">
        <v>350000</v>
      </c>
      <c r="L37" s="7" t="s">
        <v>175</v>
      </c>
      <c r="M37" s="7" t="s">
        <v>176</v>
      </c>
      <c r="N37" s="30" t="s">
        <v>52</v>
      </c>
      <c r="O37" s="12" t="str">
        <f t="shared" si="0"/>
        <v>RAI</v>
      </c>
      <c r="P37" s="16"/>
      <c r="Q37" s="16"/>
    </row>
    <row r="38" spans="1:17" x14ac:dyDescent="0.35">
      <c r="A38" s="5">
        <v>37</v>
      </c>
      <c r="B38" s="31" t="s">
        <v>177</v>
      </c>
      <c r="C38" s="31" t="s">
        <v>178</v>
      </c>
      <c r="D38" s="13" t="s">
        <v>19</v>
      </c>
      <c r="E38" s="5" t="s">
        <v>20</v>
      </c>
      <c r="F38" s="5" t="s">
        <v>173</v>
      </c>
      <c r="G38" s="14">
        <v>45779</v>
      </c>
      <c r="H38" s="14">
        <v>46875</v>
      </c>
      <c r="I38" s="15">
        <v>2179000</v>
      </c>
      <c r="J38" s="13" t="s">
        <v>179</v>
      </c>
      <c r="K38" s="15">
        <v>2179000</v>
      </c>
      <c r="L38" s="13" t="s">
        <v>180</v>
      </c>
      <c r="M38" s="13" t="s">
        <v>181</v>
      </c>
      <c r="N38" s="25" t="s">
        <v>39</v>
      </c>
      <c r="O38" s="12" t="str">
        <f t="shared" si="0"/>
        <v>RAI</v>
      </c>
      <c r="P38" s="16"/>
      <c r="Q38" s="16"/>
    </row>
    <row r="39" spans="1:17" x14ac:dyDescent="0.35">
      <c r="A39" s="5">
        <v>38</v>
      </c>
      <c r="B39" s="5" t="s">
        <v>182</v>
      </c>
      <c r="C39" s="5" t="s">
        <v>172</v>
      </c>
      <c r="D39" s="13" t="s">
        <v>19</v>
      </c>
      <c r="E39" s="5" t="s">
        <v>20</v>
      </c>
      <c r="F39" s="5" t="s">
        <v>28</v>
      </c>
      <c r="G39" s="17">
        <v>45786</v>
      </c>
      <c r="H39" s="17">
        <v>46516</v>
      </c>
      <c r="I39" s="15">
        <v>489000</v>
      </c>
      <c r="J39" s="13" t="s">
        <v>183</v>
      </c>
      <c r="K39" s="15">
        <v>489000</v>
      </c>
      <c r="L39" s="13" t="s">
        <v>184</v>
      </c>
      <c r="M39" s="13" t="s">
        <v>185</v>
      </c>
      <c r="N39" s="25" t="s">
        <v>134</v>
      </c>
      <c r="O39" s="12" t="str">
        <f t="shared" si="0"/>
        <v>RAI</v>
      </c>
      <c r="P39" s="16"/>
      <c r="Q39" s="16"/>
    </row>
    <row r="40" spans="1:17" x14ac:dyDescent="0.35">
      <c r="A40" s="5">
        <v>39</v>
      </c>
      <c r="B40" s="6" t="s">
        <v>186</v>
      </c>
      <c r="C40" s="6" t="s">
        <v>187</v>
      </c>
      <c r="D40" s="7" t="s">
        <v>19</v>
      </c>
      <c r="E40" s="6" t="s">
        <v>20</v>
      </c>
      <c r="F40" s="6" t="s">
        <v>188</v>
      </c>
      <c r="G40" s="7" t="s">
        <v>189</v>
      </c>
      <c r="H40" s="7" t="s">
        <v>190</v>
      </c>
      <c r="I40" s="10">
        <v>569000</v>
      </c>
      <c r="J40" s="7" t="s">
        <v>191</v>
      </c>
      <c r="K40" s="10">
        <v>569000</v>
      </c>
      <c r="L40" s="7" t="s">
        <v>192</v>
      </c>
      <c r="M40" s="7" t="s">
        <v>193</v>
      </c>
      <c r="N40" s="30" t="s">
        <v>25</v>
      </c>
      <c r="O40" s="12" t="str">
        <f t="shared" si="0"/>
        <v>RAD</v>
      </c>
      <c r="P40" s="16"/>
      <c r="Q40" s="16"/>
    </row>
    <row r="41" spans="1:17" x14ac:dyDescent="0.35">
      <c r="A41" s="5">
        <v>40</v>
      </c>
      <c r="B41" s="5" t="s">
        <v>194</v>
      </c>
      <c r="C41" s="5" t="s">
        <v>195</v>
      </c>
      <c r="D41" s="13" t="s">
        <v>19</v>
      </c>
      <c r="E41" s="5" t="s">
        <v>20</v>
      </c>
      <c r="F41" s="5" t="s">
        <v>28</v>
      </c>
      <c r="G41" s="13" t="s">
        <v>196</v>
      </c>
      <c r="H41" s="13" t="s">
        <v>197</v>
      </c>
      <c r="I41" s="15">
        <v>359000</v>
      </c>
      <c r="J41" s="13" t="s">
        <v>198</v>
      </c>
      <c r="K41" s="15">
        <v>359000</v>
      </c>
      <c r="L41" s="13" t="s">
        <v>199</v>
      </c>
      <c r="M41" s="13" t="s">
        <v>200</v>
      </c>
      <c r="N41" s="25" t="s">
        <v>25</v>
      </c>
      <c r="O41" s="12" t="str">
        <f t="shared" si="0"/>
        <v>RAD</v>
      </c>
      <c r="P41" s="16"/>
      <c r="Q41" s="16"/>
    </row>
    <row r="42" spans="1:17" x14ac:dyDescent="0.35">
      <c r="A42" s="5">
        <v>41</v>
      </c>
      <c r="B42" s="31" t="s">
        <v>201</v>
      </c>
      <c r="C42" s="31" t="s">
        <v>202</v>
      </c>
      <c r="D42" s="13" t="s">
        <v>19</v>
      </c>
      <c r="E42" s="5" t="s">
        <v>20</v>
      </c>
      <c r="F42" s="5" t="s">
        <v>28</v>
      </c>
      <c r="G42" s="24">
        <v>45826</v>
      </c>
      <c r="H42" s="24">
        <v>46556</v>
      </c>
      <c r="I42" s="15">
        <v>359000</v>
      </c>
      <c r="J42" s="13" t="s">
        <v>203</v>
      </c>
      <c r="K42" s="15">
        <v>359000</v>
      </c>
      <c r="L42" s="13" t="s">
        <v>204</v>
      </c>
      <c r="M42" s="13" t="s">
        <v>205</v>
      </c>
      <c r="N42" s="25" t="s">
        <v>32</v>
      </c>
      <c r="O42" s="12" t="str">
        <f t="shared" si="0"/>
        <v>RAI</v>
      </c>
      <c r="P42" s="16"/>
      <c r="Q42" s="16"/>
    </row>
    <row r="43" spans="1:17" x14ac:dyDescent="0.35">
      <c r="A43" s="5">
        <v>42</v>
      </c>
      <c r="B43" s="31" t="s">
        <v>201</v>
      </c>
      <c r="C43" s="31" t="s">
        <v>202</v>
      </c>
      <c r="D43" s="13" t="s">
        <v>19</v>
      </c>
      <c r="E43" s="5" t="s">
        <v>20</v>
      </c>
      <c r="F43" s="5" t="s">
        <v>28</v>
      </c>
      <c r="G43" s="24">
        <v>45826</v>
      </c>
      <c r="H43" s="24">
        <v>46556</v>
      </c>
      <c r="I43" s="15">
        <v>359000</v>
      </c>
      <c r="J43" s="13" t="s">
        <v>206</v>
      </c>
      <c r="K43" s="15">
        <v>359000</v>
      </c>
      <c r="L43" s="13" t="s">
        <v>207</v>
      </c>
      <c r="M43" s="13" t="s">
        <v>208</v>
      </c>
      <c r="N43" s="25" t="s">
        <v>39</v>
      </c>
      <c r="O43" s="12" t="str">
        <f t="shared" si="0"/>
        <v>RAI</v>
      </c>
      <c r="P43" s="16"/>
      <c r="Q43" s="16"/>
    </row>
    <row r="44" spans="1:17" x14ac:dyDescent="0.35">
      <c r="A44" s="5">
        <v>43</v>
      </c>
      <c r="B44" s="5" t="s">
        <v>209</v>
      </c>
      <c r="C44" s="5" t="s">
        <v>210</v>
      </c>
      <c r="D44" s="13" t="s">
        <v>19</v>
      </c>
      <c r="E44" s="5" t="s">
        <v>20</v>
      </c>
      <c r="F44" s="5" t="s">
        <v>28</v>
      </c>
      <c r="G44" s="24">
        <v>45832</v>
      </c>
      <c r="H44" s="24">
        <v>46562</v>
      </c>
      <c r="I44" s="15">
        <v>1319000</v>
      </c>
      <c r="J44" s="13" t="s">
        <v>211</v>
      </c>
      <c r="K44" s="15">
        <v>1319000</v>
      </c>
      <c r="L44" s="13" t="s">
        <v>212</v>
      </c>
      <c r="M44" s="13" t="s">
        <v>213</v>
      </c>
      <c r="N44" s="25" t="s">
        <v>134</v>
      </c>
      <c r="O44" s="12" t="str">
        <f t="shared" si="0"/>
        <v>RAI</v>
      </c>
      <c r="P44" s="16"/>
      <c r="Q44" s="16"/>
    </row>
    <row r="45" spans="1:17" x14ac:dyDescent="0.35">
      <c r="A45" s="5">
        <v>44</v>
      </c>
      <c r="B45" s="5" t="s">
        <v>135</v>
      </c>
      <c r="C45" s="5" t="s">
        <v>136</v>
      </c>
      <c r="D45" s="13" t="s">
        <v>19</v>
      </c>
      <c r="E45" s="5" t="s">
        <v>20</v>
      </c>
      <c r="F45" s="5" t="s">
        <v>28</v>
      </c>
      <c r="G45" s="24">
        <v>45832</v>
      </c>
      <c r="H45" s="24">
        <v>45832</v>
      </c>
      <c r="I45" s="15">
        <v>359000</v>
      </c>
      <c r="J45" s="13" t="s">
        <v>214</v>
      </c>
      <c r="K45" s="15">
        <v>359000</v>
      </c>
      <c r="L45" s="13" t="s">
        <v>215</v>
      </c>
      <c r="M45" s="13" t="s">
        <v>216</v>
      </c>
      <c r="N45" s="25" t="s">
        <v>25</v>
      </c>
      <c r="O45" s="12" t="str">
        <f t="shared" si="0"/>
        <v>RAD</v>
      </c>
      <c r="P45" s="16"/>
      <c r="Q45" s="16"/>
    </row>
    <row r="46" spans="1:17" x14ac:dyDescent="0.35">
      <c r="A46" s="5">
        <v>45</v>
      </c>
      <c r="B46" s="6" t="s">
        <v>217</v>
      </c>
      <c r="C46" s="6" t="s">
        <v>218</v>
      </c>
      <c r="D46" s="7" t="s">
        <v>19</v>
      </c>
      <c r="E46" s="6" t="s">
        <v>20</v>
      </c>
      <c r="F46" s="6" t="s">
        <v>28</v>
      </c>
      <c r="G46" s="9">
        <v>45808</v>
      </c>
      <c r="H46" s="9">
        <v>46537</v>
      </c>
      <c r="I46" s="10">
        <v>399000</v>
      </c>
      <c r="J46" s="7" t="s">
        <v>219</v>
      </c>
      <c r="K46" s="10">
        <v>399000</v>
      </c>
      <c r="L46" s="7" t="s">
        <v>220</v>
      </c>
      <c r="M46" s="7" t="s">
        <v>221</v>
      </c>
      <c r="N46" s="30" t="s">
        <v>25</v>
      </c>
      <c r="O46" s="12" t="str">
        <f t="shared" si="0"/>
        <v>RAD</v>
      </c>
      <c r="P46" s="16"/>
      <c r="Q46" s="16"/>
    </row>
    <row r="47" spans="1:17" x14ac:dyDescent="0.35">
      <c r="A47" s="5">
        <v>46</v>
      </c>
      <c r="B47" s="5" t="s">
        <v>182</v>
      </c>
      <c r="C47" s="5" t="s">
        <v>222</v>
      </c>
      <c r="D47" s="13" t="s">
        <v>19</v>
      </c>
      <c r="E47" s="5" t="s">
        <v>20</v>
      </c>
      <c r="F47" s="5" t="s">
        <v>188</v>
      </c>
      <c r="G47" s="14">
        <v>45847</v>
      </c>
      <c r="H47" s="14">
        <v>46212</v>
      </c>
      <c r="I47" s="15">
        <v>639000</v>
      </c>
      <c r="J47" s="13" t="s">
        <v>223</v>
      </c>
      <c r="K47" s="15">
        <v>639000</v>
      </c>
      <c r="L47" s="13" t="s">
        <v>224</v>
      </c>
      <c r="M47" s="13" t="s">
        <v>225</v>
      </c>
      <c r="N47" s="25" t="s">
        <v>128</v>
      </c>
      <c r="O47" s="12" t="str">
        <f t="shared" si="0"/>
        <v>RAI</v>
      </c>
      <c r="P47" s="16"/>
      <c r="Q47" s="16"/>
    </row>
    <row r="48" spans="1:17" x14ac:dyDescent="0.35">
      <c r="A48" s="5">
        <v>47</v>
      </c>
      <c r="B48" s="5" t="s">
        <v>226</v>
      </c>
      <c r="C48" s="5" t="s">
        <v>227</v>
      </c>
      <c r="D48" s="13" t="s">
        <v>19</v>
      </c>
      <c r="E48" s="5" t="s">
        <v>20</v>
      </c>
      <c r="F48" s="5" t="s">
        <v>28</v>
      </c>
      <c r="G48" s="13" t="s">
        <v>228</v>
      </c>
      <c r="H48" s="13" t="s">
        <v>229</v>
      </c>
      <c r="I48" s="15">
        <v>549000</v>
      </c>
      <c r="J48" s="13" t="s">
        <v>230</v>
      </c>
      <c r="K48" s="15">
        <v>549000</v>
      </c>
      <c r="L48" s="13" t="s">
        <v>231</v>
      </c>
      <c r="M48" s="13" t="s">
        <v>232</v>
      </c>
      <c r="N48" s="25" t="s">
        <v>128</v>
      </c>
      <c r="O48" s="12" t="str">
        <f t="shared" si="0"/>
        <v>RAI</v>
      </c>
      <c r="P48" s="16"/>
      <c r="Q48" s="16"/>
    </row>
    <row r="49" spans="1:17" x14ac:dyDescent="0.35">
      <c r="A49" s="5">
        <v>48</v>
      </c>
      <c r="B49" s="5" t="s">
        <v>233</v>
      </c>
      <c r="C49" s="5" t="s">
        <v>168</v>
      </c>
      <c r="D49" s="5" t="s">
        <v>19</v>
      </c>
      <c r="E49" s="5" t="s">
        <v>20</v>
      </c>
      <c r="F49" s="5" t="s">
        <v>28</v>
      </c>
      <c r="G49" s="32">
        <v>45958</v>
      </c>
      <c r="H49" s="17">
        <v>46688</v>
      </c>
      <c r="I49" s="15">
        <v>329000</v>
      </c>
      <c r="J49" s="13" t="s">
        <v>234</v>
      </c>
      <c r="K49" s="15">
        <v>329000</v>
      </c>
      <c r="L49" s="13" t="s">
        <v>235</v>
      </c>
      <c r="M49" s="13" t="s">
        <v>216</v>
      </c>
      <c r="N49" s="16" t="s">
        <v>25</v>
      </c>
      <c r="O49" s="33" t="s">
        <v>236</v>
      </c>
      <c r="P49" s="16"/>
      <c r="Q49" s="16"/>
    </row>
  </sheetData>
  <dataValidations count="4">
    <dataValidation type="list" allowBlank="1" showDropDown="1" showErrorMessage="1" sqref="E2:E49" xr:uid="{8F3D4E3A-BEFF-47F2-A542-D0F0CFF91A3F}">
      <formula1>"ASANI,ASANI ( Bluejam )"</formula1>
    </dataValidation>
    <dataValidation type="list" allowBlank="1" showDropDown="1" showErrorMessage="1" sqref="N2:N49" xr:uid="{58CA1FA5-B7AD-4D87-810D-B222E490F7A0}">
      <formula1>"Retail,SCM,Marketing,F&amp;A,Operational,Management,Finance,HR GA &amp; Legal,Bussines Development"</formula1>
    </dataValidation>
    <dataValidation type="custom" allowBlank="1" showDropDown="1" sqref="A2:A49 I2:I49 K2:K49" xr:uid="{817C144A-CB7B-4EE8-AB91-9C5FFEC93DCD}">
      <formula1>AND(ISNUMBER(A2),(NOT(OR(NOT(ISERROR(DATEVALUE(A2))), AND(ISNUMBER(A2), LEFT(CELL("format", A2))="D")))))</formula1>
    </dataValidation>
    <dataValidation type="list" allowBlank="1" sqref="F2:F49" xr:uid="{A4A021E0-A0B2-45A5-8EA5-56DA756F2D6A}">
      <formula1>"24 Month,36 Month,12 Month,6 Month"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Setiyono</dc:creator>
  <cp:lastModifiedBy>Aris Setiyono</cp:lastModifiedBy>
  <dcterms:created xsi:type="dcterms:W3CDTF">2026-05-31T17:21:15Z</dcterms:created>
  <dcterms:modified xsi:type="dcterms:W3CDTF">2026-05-31T17:21:52Z</dcterms:modified>
</cp:coreProperties>
</file>